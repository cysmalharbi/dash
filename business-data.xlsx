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بيانات الشهرية" sheetId="1" state="visible" r:id="rId3"/>
    <sheet name="المشاريع" sheetId="2" state="visible" r:id="rId4"/>
    <sheet name="الشهادا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<sst xmlns="http://schemas.openxmlformats.org/spreadsheetml/2006/main" count="75" uniqueCount="71">
  <si>
    <t xml:space="preserve">الشهر</t>
  </si>
  <si>
    <t xml:space="preserve">العملاء</t>
  </si>
  <si>
    <t xml:space="preserve">الإيرادات</t>
  </si>
  <si>
    <t xml:space="preserve">المشاريع</t>
  </si>
  <si>
    <t xml:space="preserve">الرضا</t>
  </si>
  <si>
    <t xml:space="preserve">يناير</t>
  </si>
  <si>
    <t xml:space="preserve">فبراير</t>
  </si>
  <si>
    <t xml:space="preserve">مارس</t>
  </si>
  <si>
    <t xml:space="preserve">أبريل</t>
  </si>
  <si>
    <t xml:space="preserve">مايو</t>
  </si>
  <si>
    <t xml:space="preserve">يونيو</t>
  </si>
  <si>
    <t xml:space="preserve">يوليو</t>
  </si>
  <si>
    <t xml:space="preserve">أغسطس</t>
  </si>
  <si>
    <t xml:space="preserve">سبتمبر</t>
  </si>
  <si>
    <t xml:space="preserve">أكتوبر</t>
  </si>
  <si>
    <t xml:space="preserve">نوفمبر</t>
  </si>
  <si>
    <t xml:space="preserve">ديسمبر</t>
  </si>
  <si>
    <t xml:space="preserve">الإجمالي</t>
  </si>
  <si>
    <t xml:space="preserve">ملاحظات:</t>
  </si>
  <si>
    <t xml:space="preserve">• هذه بيانات وهمية لأغراض العرض والتجربة فقط</t>
  </si>
  <si>
    <t xml:space="preserve">• الإيرادات بالريال السعودي</t>
  </si>
  <si>
    <t xml:space="preserve">• الرضا نسبة مئوية من 100</t>
  </si>
  <si>
    <t xml:space="preserve">• صف الإجمالي يحسب تلقائياً — لا تعدله يدوياً</t>
  </si>
  <si>
    <t xml:space="preserve">اسم المشروع</t>
  </si>
  <si>
    <t xml:space="preserve">العميل</t>
  </si>
  <si>
    <t xml:space="preserve">القطاع</t>
  </si>
  <si>
    <t xml:space="preserve">الوصف</t>
  </si>
  <si>
    <t xml:space="preserve">النتيجة</t>
  </si>
  <si>
    <t xml:space="preserve">سنة التنفيذ</t>
  </si>
  <si>
    <t xml:space="preserve">إعادة هيكلة العمليات</t>
  </si>
  <si>
    <t xml:space="preserve">مجموعة الفهد التجارية</t>
  </si>
  <si>
    <t xml:space="preserve">تجزئة</t>
  </si>
  <si>
    <t xml:space="preserve">تحليل وإعادة تصميم سلسلة التوريد وعمليات المخزون</t>
  </si>
  <si>
    <t xml:space="preserve">خفض التكاليف 32%</t>
  </si>
  <si>
    <t xml:space="preserve">استراتيجية التوسع الإقليمي</t>
  </si>
  <si>
    <t xml:space="preserve">شركة نماء للأغذية</t>
  </si>
  <si>
    <t xml:space="preserve">أغذية</t>
  </si>
  <si>
    <t xml:space="preserve">بناء خطة دخول ثلاث أسواق خليجية جديدة</t>
  </si>
  <si>
    <t xml:space="preserve">افتتاح 8 فروع</t>
  </si>
  <si>
    <t xml:space="preserve">برنامج تطوير القيادات</t>
  </si>
  <si>
    <t xml:space="preserve">بنك الخليج الأول</t>
  </si>
  <si>
    <t xml:space="preserve">مصرفي</t>
  </si>
  <si>
    <t xml:space="preserve">تصميم وتنفيذ برنامج تدريبي لـ 45 مدير</t>
  </si>
  <si>
    <t xml:space="preserve">رفع الأداء 28%</t>
  </si>
  <si>
    <t xml:space="preserve">تحول رقمي شامل</t>
  </si>
  <si>
    <t xml:space="preserve">مستشفى الرعاية المتقدمة</t>
  </si>
  <si>
    <t xml:space="preserve">صحي</t>
  </si>
  <si>
    <t xml:space="preserve">رقمنة العمليات الإدارية وملفات المرضى</t>
  </si>
  <si>
    <t xml:space="preserve">توفير 1200 ساعة شهرياً</t>
  </si>
  <si>
    <t xml:space="preserve">إعادة بناء ثقافة المؤسسة</t>
  </si>
  <si>
    <t xml:space="preserve">شركة إبداع للتقنية</t>
  </si>
  <si>
    <t xml:space="preserve">تقنية</t>
  </si>
  <si>
    <t xml:space="preserve">برنامج متكامل لتحسين بيئة العمل والاحتفاظ بالمواهب</t>
  </si>
  <si>
    <t xml:space="preserve">خفض الاستقالات 45%</t>
  </si>
  <si>
    <t xml:space="preserve">تحسين تجربة العملاء</t>
  </si>
  <si>
    <t xml:space="preserve">متاجر الوفاء</t>
  </si>
  <si>
    <t xml:space="preserve">إعادة تصميم رحلة العميل من الاكتشاف حتى ما بعد البيع</t>
  </si>
  <si>
    <t xml:space="preserve">رفع الرضا إلى 94%</t>
  </si>
  <si>
    <t xml:space="preserve">الاسم</t>
  </si>
  <si>
    <t xml:space="preserve">المنصب</t>
  </si>
  <si>
    <t xml:space="preserve">الشركة</t>
  </si>
  <si>
    <t xml:space="preserve">الشهادة</t>
  </si>
  <si>
    <t xml:space="preserve">خالد العتيبي</t>
  </si>
  <si>
    <t xml:space="preserve">الرئيس التنفيذي</t>
  </si>
  <si>
    <t xml:space="preserve">عملنا مع أحمد على إعادة هيكلة عملياتنا. النتائج فاقت توقعاتنا بمراحل، والفريق صار يشتغل بكفاءة ما شفناها قبل.</t>
  </si>
  <si>
    <t xml:space="preserve">نورة الشمري</t>
  </si>
  <si>
    <t xml:space="preserve">مديرة التطوير</t>
  </si>
  <si>
    <t xml:space="preserve">أكثر شي أعجبني إنه ما يعطيك حلول جاهزة — يفهم وضعك أول، وبعدين يبني معك خطة تناسبك أنت بالذات.</t>
  </si>
  <si>
    <t xml:space="preserve">سعد القحطاني</t>
  </si>
  <si>
    <t xml:space="preserve">مدير الموارد البشرية</t>
  </si>
  <si>
    <t xml:space="preserve">برنامج القيادة اللي صممه غيّر طريقة تفكير مدرائنا. لاحظنا الفرق في أول شهرين.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</si>
</sst>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\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12</v>
      </c>
      <c r="C2" s="3" t="n">
        <v>45000</v>
      </c>
      <c r="D2" s="2" t="n">
        <v>4</v>
      </c>
      <c r="E2" s="4" t="n">
        <v>94</v>
      </c>
    </row>
    <row r="3" customFormat="false" ht="15" hidden="false" customHeight="false" outlineLevel="0" collapsed="false">
      <c r="A3" s="2" t="s">
        <v>6</v>
      </c>
      <c r="B3" s="2" t="n">
        <v>15</v>
      </c>
      <c r="C3" s="3" t="n">
        <v>52000</v>
      </c>
      <c r="D3" s="2" t="n">
        <v>5</v>
      </c>
      <c r="E3" s="4" t="n">
        <v>96</v>
      </c>
    </row>
    <row r="4" customFormat="false" ht="15" hidden="false" customHeight="false" outlineLevel="0" collapsed="false">
      <c r="A4" s="2" t="s">
        <v>7</v>
      </c>
      <c r="B4" s="2" t="n">
        <v>18</v>
      </c>
      <c r="C4" s="3" t="n">
        <v>61000</v>
      </c>
      <c r="D4" s="2" t="n">
        <v>6</v>
      </c>
      <c r="E4" s="4" t="n">
        <v>95</v>
      </c>
    </row>
    <row r="5" customFormat="false" ht="15" hidden="false" customHeight="false" outlineLevel="0" collapsed="false">
      <c r="A5" s="2" t="s">
        <v>8</v>
      </c>
      <c r="B5" s="2" t="n">
        <v>14</v>
      </c>
      <c r="C5" s="3" t="n">
        <v>48000</v>
      </c>
      <c r="D5" s="2" t="n">
        <v>5</v>
      </c>
      <c r="E5" s="4" t="n">
        <v>97</v>
      </c>
    </row>
    <row r="6" customFormat="false" ht="15" hidden="false" customHeight="false" outlineLevel="0" collapsed="false">
      <c r="A6" s="2" t="s">
        <v>9</v>
      </c>
      <c r="B6" s="2" t="n">
        <v>20</v>
      </c>
      <c r="C6" s="3" t="n">
        <v>72000</v>
      </c>
      <c r="D6" s="2" t="n">
        <v>7</v>
      </c>
      <c r="E6" s="4" t="n">
        <v>96</v>
      </c>
    </row>
    <row r="7" customFormat="false" ht="15" hidden="false" customHeight="false" outlineLevel="0" collapsed="false">
      <c r="A7" s="2" t="s">
        <v>10</v>
      </c>
      <c r="B7" s="2" t="n">
        <v>22</v>
      </c>
      <c r="C7" s="3" t="n">
        <v>81000</v>
      </c>
      <c r="D7" s="2" t="n">
        <v>8</v>
      </c>
      <c r="E7" s="4" t="n">
        <v>98</v>
      </c>
    </row>
    <row r="8" customFormat="false" ht="15" hidden="false" customHeight="false" outlineLevel="0" collapsed="false">
      <c r="A8" s="2" t="s">
        <v>11</v>
      </c>
      <c r="B8" s="2" t="n">
        <v>19</v>
      </c>
      <c r="C8" s="3" t="n">
        <v>68000</v>
      </c>
      <c r="D8" s="2" t="n">
        <v>6</v>
      </c>
      <c r="E8" s="4" t="n">
        <v>95</v>
      </c>
    </row>
    <row r="9" customFormat="false" ht="15" hidden="false" customHeight="false" outlineLevel="0" collapsed="false">
      <c r="A9" s="2" t="s">
        <v>12</v>
      </c>
      <c r="B9" s="2" t="n">
        <v>24</v>
      </c>
      <c r="C9" s="3" t="n">
        <v>89000</v>
      </c>
      <c r="D9" s="2" t="n">
        <v>9</v>
      </c>
      <c r="E9" s="4" t="n">
        <v>97</v>
      </c>
    </row>
    <row r="10" customFormat="false" ht="15" hidden="false" customHeight="false" outlineLevel="0" collapsed="false">
      <c r="A10" s="2" t="s">
        <v>13</v>
      </c>
      <c r="B10" s="2" t="n">
        <v>26</v>
      </c>
      <c r="C10" s="3" t="n">
        <v>95000</v>
      </c>
      <c r="D10" s="2" t="n">
        <v>10</v>
      </c>
      <c r="E10" s="4" t="n">
        <v>98</v>
      </c>
    </row>
    <row r="11" customFormat="false" ht="15" hidden="false" customHeight="false" outlineLevel="0" collapsed="false">
      <c r="A11" s="2" t="s">
        <v>14</v>
      </c>
      <c r="B11" s="2" t="n">
        <v>23</v>
      </c>
      <c r="C11" s="3" t="n">
        <v>84000</v>
      </c>
      <c r="D11" s="2" t="n">
        <v>8</v>
      </c>
      <c r="E11" s="4" t="n">
        <v>96</v>
      </c>
    </row>
    <row r="12" customFormat="false" ht="15" hidden="false" customHeight="false" outlineLevel="0" collapsed="false">
      <c r="A12" s="2" t="s">
        <v>15</v>
      </c>
      <c r="B12" s="2" t="n">
        <v>28</v>
      </c>
      <c r="C12" s="3" t="n">
        <v>102000</v>
      </c>
      <c r="D12" s="2" t="n">
        <v>11</v>
      </c>
      <c r="E12" s="4" t="n">
        <v>99</v>
      </c>
    </row>
    <row r="13" customFormat="false" ht="15" hidden="false" customHeight="false" outlineLevel="0" collapsed="false">
      <c r="A13" s="2" t="s">
        <v>16</v>
      </c>
      <c r="B13" s="2" t="n">
        <v>31</v>
      </c>
      <c r="C13" s="3" t="n">
        <v>118000</v>
      </c>
      <c r="D13" s="2" t="n">
        <v>12</v>
      </c>
      <c r="E13" s="4" t="n">
        <v>98</v>
      </c>
    </row>
    <row r="15" customFormat="false" ht="15" hidden="false" customHeight="false" outlineLevel="0" collapsed="false">
      <c r="A15" s="5" t="s">
        <v>17</v>
      </c>
      <c r="B15" s="5" t="n">
        <f aca="false">SUM(B2:B13)</f>
        <v>252</v>
      </c>
      <c r="C15" s="6" t="n">
        <f aca="false">SUM(C2:C13)</f>
        <v>915000</v>
      </c>
      <c r="D15" s="5" t="n">
        <f aca="false">SUM(D2:D13)</f>
        <v>91</v>
      </c>
      <c r="E15" s="7" t="n">
        <f aca="false">ROUND(AVERAGE(E2:E13),0)</f>
        <v>97</v>
      </c>
    </row>
    <row r="18" customFormat="false" ht="15" hidden="false" customHeight="false" outlineLevel="0" collapsed="false">
      <c r="A18" s="8" t="s">
        <v>18</v>
      </c>
    </row>
    <row r="19" customFormat="false" ht="15" hidden="false" customHeight="false" outlineLevel="0" collapsed="false">
      <c r="A19" s="9" t="s">
        <v>19</v>
      </c>
    </row>
    <row r="20" customFormat="false" ht="15" hidden="false" customHeight="false" outlineLevel="0" collapsed="false">
      <c r="A20" s="9" t="s">
        <v>20</v>
      </c>
    </row>
    <row r="21" customFormat="false" ht="15" hidden="false" customHeight="false" outlineLevel="0" collapsed="false">
      <c r="A21" s="9" t="s">
        <v>21</v>
      </c>
    </row>
    <row r="22" customFormat="false" ht="15" hidden="false" customHeight="false" outlineLevel="0" collapsed="false">
      <c r="A22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customFormat="false" ht="30" hidden="false" customHeight="true" outlineLevel="0" collapsed="false">
      <c r="A2" s="10" t="s">
        <v>29</v>
      </c>
      <c r="B2" s="10" t="s">
        <v>30</v>
      </c>
      <c r="C2" s="10" t="s">
        <v>31</v>
      </c>
      <c r="D2" s="10" t="s">
        <v>32</v>
      </c>
      <c r="E2" s="10" t="s">
        <v>33</v>
      </c>
      <c r="F2" s="2" t="n">
        <v>2024</v>
      </c>
    </row>
    <row r="3" customFormat="false" ht="30" hidden="false" customHeight="true" outlineLevel="0" collapsed="false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2" t="n">
        <v>2024</v>
      </c>
    </row>
    <row r="4" customFormat="false" ht="30" hidden="false" customHeight="true" outlineLevel="0" collapsed="false">
      <c r="A4" s="10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2" t="n">
        <v>2023</v>
      </c>
    </row>
    <row r="5" customFormat="false" ht="30" hidden="false" customHeight="true" outlineLevel="0" collapsed="false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2" t="n">
        <v>2023</v>
      </c>
    </row>
    <row r="6" customFormat="false" ht="30" hidden="false" customHeight="true" outlineLevel="0" collapsed="false">
      <c r="A6" s="10" t="s">
        <v>49</v>
      </c>
      <c r="B6" s="10" t="s">
        <v>50</v>
      </c>
      <c r="C6" s="10" t="s">
        <v>51</v>
      </c>
      <c r="D6" s="10" t="s">
        <v>52</v>
      </c>
      <c r="E6" s="10" t="s">
        <v>53</v>
      </c>
      <c r="F6" s="2" t="n">
        <v>2023</v>
      </c>
    </row>
    <row r="7" customFormat="false" ht="30" hidden="false" customHeight="true" outlineLevel="0" collapsed="false">
      <c r="A7" s="10" t="s">
        <v>54</v>
      </c>
      <c r="B7" s="10" t="s">
        <v>55</v>
      </c>
      <c r="C7" s="10" t="s">
        <v>31</v>
      </c>
      <c r="D7" s="10" t="s">
        <v>56</v>
      </c>
      <c r="E7" s="10" t="s">
        <v>57</v>
      </c>
      <c r="F7" s="2" t="n"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" t="s">
        <v>58</v>
      </c>
      <c r="B1" s="1" t="s">
        <v>59</v>
      </c>
      <c r="C1" s="1" t="s">
        <v>60</v>
      </c>
      <c r="D1" s="1" t="s">
        <v>61</v>
      </c>
    </row>
    <row r="2" customFormat="false" ht="54.75" hidden="false" customHeight="true" outlineLevel="0" collapsed="false">
      <c r="A2" s="10" t="s">
        <v>62</v>
      </c>
      <c r="B2" s="10" t="s">
        <v>63</v>
      </c>
      <c r="C2" s="10" t="s">
        <v>30</v>
      </c>
      <c r="D2" s="11" t="s">
        <v>64</v>
      </c>
    </row>
    <row r="3" customFormat="false" ht="54.75" hidden="false" customHeight="true" outlineLevel="0" collapsed="false">
      <c r="A3" s="10" t="s">
        <v>65</v>
      </c>
      <c r="B3" s="10" t="s">
        <v>66</v>
      </c>
      <c r="C3" s="10" t="s">
        <v>35</v>
      </c>
      <c r="D3" s="11" t="s">
        <v>67</v>
      </c>
    </row>
    <row r="4" customFormat="false" ht="54.75" hidden="false" customHeight="true" outlineLevel="0" collapsed="false">
      <c r="A4" s="10" t="s">
        <v>68</v>
      </c>
      <c r="B4" s="10" t="s">
        <v>69</v>
      </c>
      <c r="C4" s="10" t="s">
        <v>40</v>
      </c>
      <c r="D4" s="1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2026-08-05T14:32:42Z</dcterms:created>
  <dc:creator>openpyxl</dc:creator>
  <dc:description/>
  <dc:language>en-US</dc:language>
  <cp:lastModifiedBy/>
  <dcterms:modified xsi:type="dcterms:W3CDTF">2026-08-05T14:32:42Z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